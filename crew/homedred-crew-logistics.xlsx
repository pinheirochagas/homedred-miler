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d stations" sheetId="1" state="visible" r:id="rId1"/>
    <sheet name="_lists" sheetId="2" state="hidden" r:id="rId2"/>
  </sheets>
  <definedNames>
    <definedName name="_xlnm._FilterDatabase" localSheetId="0" hidden="1">'Aid stations'!$A$6:$K$22</definedName>
    <definedName name="_xlnm.Print_Titles" localSheetId="0">'Aid stations'!$1:$6</definedName>
    <definedName name="_xlnm.Print_Area" localSheetId="0">'Aid stations'!$A$1:$K$22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d, mmm d yyyy &quot;·&quot; hh:mm"/>
    <numFmt numFmtId="166" formatCode="hh:mm"/>
    <numFmt numFmtId="167" formatCode="0.0&quot; mi&quot;"/>
  </numFmts>
  <fonts count="13">
    <font>
      <name val="Calibri"/>
      <family val="2"/>
      <color theme="1"/>
      <sz val="11"/>
      <scheme val="minor"/>
    </font>
    <font>
      <name val="Arial Narrow"/>
      <color rgb="0011110F"/>
      <sz val="26"/>
    </font>
    <font>
      <name val="Arial"/>
      <color rgb="006D6D67"/>
      <sz val="11"/>
    </font>
    <font>
      <name val="Arial"/>
      <b val="1"/>
      <color rgb="00FFFFFF"/>
      <sz val="9"/>
    </font>
    <font>
      <name val="Arial"/>
      <b val="1"/>
      <color rgb="0011110F"/>
      <sz val="11"/>
    </font>
    <font>
      <name val="Arial"/>
      <color rgb="006D6D67"/>
      <sz val="9"/>
    </font>
    <font>
      <name val="Arial"/>
      <color rgb="0011110F"/>
      <sz val="9"/>
    </font>
    <font>
      <name val="Arial"/>
      <b val="1"/>
      <color rgb="0011110F"/>
      <sz val="9"/>
    </font>
    <font>
      <name val="Arial"/>
      <color rgb="0011110F"/>
      <sz val="10"/>
    </font>
    <font>
      <name val="Arial Narrow"/>
      <color rgb="006D6D67"/>
      <sz val="12"/>
    </font>
    <font>
      <name val="Arial"/>
      <b val="1"/>
      <color rgb="006D6D67"/>
      <sz val="9"/>
    </font>
    <font>
      <name val="Arial Narrow"/>
      <color rgb="0011110F"/>
      <sz val="12"/>
    </font>
    <font>
      <name val="Arial"/>
      <b val="1"/>
      <color rgb="0011110F"/>
      <sz val="10"/>
    </font>
  </fonts>
  <fills count="8">
    <fill>
      <patternFill/>
    </fill>
    <fill>
      <patternFill patternType="gray125"/>
    </fill>
    <fill>
      <patternFill patternType="solid">
        <fgColor rgb="0011110F"/>
      </patternFill>
    </fill>
    <fill>
      <patternFill patternType="solid">
        <fgColor rgb="00D7D85B"/>
      </patternFill>
    </fill>
    <fill>
      <patternFill patternType="solid">
        <fgColor rgb="00F2F2C9"/>
      </patternFill>
    </fill>
    <fill>
      <patternFill patternType="solid">
        <fgColor rgb="006D8B65"/>
      </patternFill>
    </fill>
    <fill>
      <patternFill patternType="solid">
        <fgColor rgb="00336F9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E5E5DE"/>
      </bottom>
    </border>
    <border>
      <top style="thin">
        <color rgb="00CECEC5"/>
      </top>
      <bottom style="thin">
        <color rgb="00CECEC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3" fillId="2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7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6" fontId="11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166" fontId="11" fillId="7" borderId="1" applyAlignment="1" pivotButton="0" quotePrefix="0" xfId="0">
      <alignment vertical="top" wrapText="1"/>
    </xf>
    <xf numFmtId="167" fontId="5" fillId="7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F2C9"/>
        </patternFill>
      </fill>
    </dxf>
    <dxf>
      <fill>
        <patternFill patternType="solid">
          <fgColor rgb="00E2EADF"/>
        </patternFill>
      </fill>
    </dxf>
    <dxf>
      <fill>
        <patternFill patternType="solid">
          <fgColor rgb="00ECE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Homedred</author>
  </authors>
  <commentList>
    <comment ref="B3" authorId="0" shapeId="0">
      <text>
        <t>Edit this date and time. Every ETA and day below updates automatically.</t>
      </text>
    </comment>
    <comment ref="F6" authorId="0" shapeId="0">
      <text>
        <t>Pacer arriving at this station with Pedro.</t>
      </text>
    </comment>
    <comment ref="G6" authorId="0" shapeId="0">
      <text>
        <t>Pacer leaving this station with Pedro.</t>
      </text>
    </comment>
    <comment ref="H6" authorId="0" shapeId="0">
      <text>
        <t>Only the vehicle movement that happens at this station.</t>
      </text>
    </comment>
    <comment ref="I6" authorId="0" shapeId="0">
      <text>
        <t>Only the supply-car action that happens at this station.</t>
      </text>
    </comment>
    <comment ref="J6" authorId="0" shapeId="0">
      <text>
        <t>Choose Unconfirmed, Confirmed, or Not needed.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D7D85B"/>
    <outlinePr summaryBelow="1" summaryRight="1"/>
    <pageSetUpPr fitToPage="1"/>
  </sheetPr>
  <dimension ref="A1:K22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  <col width="27" customWidth="1" min="5" max="5"/>
    <col width="18" customWidth="1" min="6" max="6"/>
    <col width="24" customWidth="1" min="7" max="7"/>
    <col width="48" customWidth="1" min="8" max="8"/>
    <col width="36" customWidth="1" min="9" max="9"/>
    <col width="16" customWidth="1" min="10" max="10"/>
    <col width="38" customWidth="1" min="11" max="11"/>
  </cols>
  <sheetData>
    <row r="1" ht="40" customHeight="1">
      <c r="A1" s="1" t="inlineStr">
        <is>
          <t>HOMEDRED / CREW LOGISTICS</t>
        </is>
      </c>
    </row>
    <row r="2" ht="23" customHeight="1">
      <c r="A2" s="2" t="inlineStr">
        <is>
          <t>Aid-station assignments · editable start · fixed 24-hour target</t>
        </is>
      </c>
    </row>
    <row r="3" ht="29" customHeight="1">
      <c r="A3" s="3" t="inlineStr">
        <is>
          <t>START</t>
        </is>
      </c>
      <c r="B3" s="4" t="n">
        <v>46242.5</v>
      </c>
      <c r="E3" s="5" t="inlineStr">
        <is>
          <t>Edit the yellow start field; ETA formulas update automatically.</t>
        </is>
      </c>
    </row>
    <row r="4" ht="25" customHeight="1">
      <c r="A4" s="6" t="inlineStr">
        <is>
          <t>ONE ROW = ONE AID-STATION VISIT. Every cell describes only what happens at that station. Edit cells or insert/delete rows as needed.</t>
        </is>
      </c>
    </row>
    <row r="6" ht="34" customHeight="1">
      <c r="A6" s="7" t="inlineStr">
        <is>
          <t>STOP</t>
        </is>
      </c>
      <c r="B6" s="7" t="inlineStr">
        <is>
          <t>DAY</t>
        </is>
      </c>
      <c r="C6" s="7" t="inlineStr">
        <is>
          <t>ETA</t>
        </is>
      </c>
      <c r="D6" s="7" t="inlineStr">
        <is>
          <t>MILE</t>
        </is>
      </c>
      <c r="E6" s="7" t="inlineStr">
        <is>
          <t>AID STATION</t>
        </is>
      </c>
      <c r="F6" s="7" t="inlineStr">
        <is>
          <t>PACER IN</t>
        </is>
      </c>
      <c r="G6" s="7" t="inlineStr">
        <is>
          <t>PACER OUT</t>
        </is>
      </c>
      <c r="H6" s="8" t="inlineStr">
        <is>
          <t>TRANSPORT AT THIS STATION</t>
        </is>
      </c>
      <c r="I6" s="9" t="inlineStr">
        <is>
          <t>SUPPLIES AT THIS STATION</t>
        </is>
      </c>
      <c r="J6" s="10" t="inlineStr">
        <is>
          <t>CONFIRM</t>
        </is>
      </c>
      <c r="K6" s="7" t="inlineStr">
        <is>
          <t>NOTES</t>
        </is>
      </c>
    </row>
    <row r="7" ht="54" customHeight="1">
      <c r="A7" s="11" t="n">
        <v>1</v>
      </c>
      <c r="B7" s="12">
        <f>TEXT(C7,"ddd")</f>
        <v/>
      </c>
      <c r="C7" s="13">
        <f>$B$3+0/1440</f>
        <v/>
      </c>
      <c r="D7" s="14" t="n">
        <v>0</v>
      </c>
      <c r="E7" s="15" t="inlineStr">
        <is>
          <t>Start — Golden Gate Park</t>
        </is>
      </c>
      <c r="F7" s="16" t="inlineStr">
        <is>
          <t>—</t>
        </is>
      </c>
      <c r="G7" s="16" t="inlineStr">
        <is>
          <t>Start group</t>
        </is>
      </c>
      <c r="H7" s="16" t="inlineStr">
        <is>
          <t>—</t>
        </is>
      </c>
      <c r="I7" s="16" t="inlineStr">
        <is>
          <t>Jonathan · day supply car begins</t>
        </is>
      </c>
      <c r="J7" s="17" t="inlineStr">
        <is>
          <t>Not needed</t>
        </is>
      </c>
      <c r="K7" s="16" t="inlineStr">
        <is>
          <t>Day supplies loaded and labeled.</t>
        </is>
      </c>
    </row>
    <row r="8" ht="54" customHeight="1">
      <c r="A8" s="18" t="n">
        <v>2</v>
      </c>
      <c r="B8" s="19">
        <f>TEXT(C8,"ddd")</f>
        <v/>
      </c>
      <c r="C8" s="20">
        <f>$B$3+50/1440</f>
        <v/>
      </c>
      <c r="D8" s="21" t="n">
        <v>4.1</v>
      </c>
      <c r="E8" s="22" t="inlineStr">
        <is>
          <t>GGB south · Welcome Center</t>
        </is>
      </c>
      <c r="F8" s="23" t="inlineStr">
        <is>
          <t>—</t>
        </is>
      </c>
      <c r="G8" s="23" t="inlineStr">
        <is>
          <t>—</t>
        </is>
      </c>
      <c r="H8" s="23" t="inlineStr">
        <is>
          <t>—</t>
        </is>
      </c>
      <c r="I8" s="23" t="inlineStr">
        <is>
          <t>Jonathan · day supply car</t>
        </is>
      </c>
      <c r="J8" s="24" t="inlineStr">
        <is>
          <t>Not needed</t>
        </is>
      </c>
      <c r="K8" s="23" t="inlineStr"/>
    </row>
    <row r="9" ht="54" customHeight="1">
      <c r="A9" s="11" t="n">
        <v>3</v>
      </c>
      <c r="B9" s="12">
        <f>TEXT(C9,"ddd")</f>
        <v/>
      </c>
      <c r="C9" s="13">
        <f>$B$3+71/1440</f>
        <v/>
      </c>
      <c r="D9" s="14" t="n">
        <v>5.9</v>
      </c>
      <c r="E9" s="15" t="inlineStr">
        <is>
          <t>GGB north · Vista Point</t>
        </is>
      </c>
      <c r="F9" s="16" t="inlineStr">
        <is>
          <t>—</t>
        </is>
      </c>
      <c r="G9" s="16" t="inlineStr">
        <is>
          <t>Jim</t>
        </is>
      </c>
      <c r="H9" s="16" t="inlineStr">
        <is>
          <t>Margarita drops Jim</t>
        </is>
      </c>
      <c r="I9" s="16" t="inlineStr">
        <is>
          <t>Jonathan · day supply car</t>
        </is>
      </c>
      <c r="J9" s="17" t="inlineStr">
        <is>
          <t>Unconfirmed</t>
        </is>
      </c>
      <c r="K9" s="16" t="inlineStr">
        <is>
          <t>Jim's CSV says segment 1; meeting says segments 3–4.</t>
        </is>
      </c>
    </row>
    <row r="10" ht="54" customHeight="1">
      <c r="A10" s="18" t="n">
        <v>4</v>
      </c>
      <c r="B10" s="19">
        <f>TEXT(C10,"ddd")</f>
        <v/>
      </c>
      <c r="C10" s="20">
        <f>$B$3+138/1440</f>
        <v/>
      </c>
      <c r="D10" s="21" t="n">
        <v>10.8</v>
      </c>
      <c r="E10" s="22" t="inlineStr">
        <is>
          <t>Rodeo Beach</t>
        </is>
      </c>
      <c r="F10" s="23" t="inlineStr">
        <is>
          <t>Jim</t>
        </is>
      </c>
      <c r="G10" s="23" t="inlineStr">
        <is>
          <t>Jim</t>
        </is>
      </c>
      <c r="H10" s="23" t="inlineStr">
        <is>
          <t>—</t>
        </is>
      </c>
      <c r="I10" s="23" t="inlineStr">
        <is>
          <t>Jonathan · day supply car</t>
        </is>
      </c>
      <c r="J10" s="24" t="inlineStr">
        <is>
          <t>Unconfirmed</t>
        </is>
      </c>
      <c r="K10" s="23" t="inlineStr"/>
    </row>
    <row r="11" ht="54" customHeight="1">
      <c r="A11" s="11" t="n">
        <v>5</v>
      </c>
      <c r="B11" s="12">
        <f>TEXT(C11,"ddd")</f>
        <v/>
      </c>
      <c r="C11" s="13">
        <f>$B$3+246/1440</f>
        <v/>
      </c>
      <c r="D11" s="14" t="n">
        <v>17.2</v>
      </c>
      <c r="E11" s="15" t="inlineStr">
        <is>
          <t>Muir Beach</t>
        </is>
      </c>
      <c r="F11" s="16" t="inlineStr">
        <is>
          <t>Jim</t>
        </is>
      </c>
      <c r="G11" s="16" t="inlineStr">
        <is>
          <t>Trill</t>
        </is>
      </c>
      <c r="H11" s="16" t="inlineStr">
        <is>
          <t>Margarita drops Trill and leaves with Jim → home/base</t>
        </is>
      </c>
      <c r="I11" s="16" t="inlineStr">
        <is>
          <t>Jonathan → Sara · transfer to Sara's car</t>
        </is>
      </c>
      <c r="J11" s="17" t="inlineStr">
        <is>
          <t>Unconfirmed</t>
        </is>
      </c>
      <c r="K11" s="16" t="inlineStr">
        <is>
          <t>Jonathan then parks his car at Stinson.</t>
        </is>
      </c>
    </row>
    <row r="12" ht="54" customHeight="1">
      <c r="A12" s="18" t="n">
        <v>6</v>
      </c>
      <c r="B12" s="19">
        <f>TEXT(C12,"ddd")</f>
        <v/>
      </c>
      <c r="C12" s="20">
        <f>$B$3+341/1440</f>
        <v/>
      </c>
      <c r="D12" s="21" t="n">
        <v>22.9</v>
      </c>
      <c r="E12" s="22" t="inlineStr">
        <is>
          <t>Pantoll Ranger Station</t>
        </is>
      </c>
      <c r="F12" s="23" t="inlineStr">
        <is>
          <t>Trill</t>
        </is>
      </c>
      <c r="G12" s="23" t="inlineStr">
        <is>
          <t>Trill</t>
        </is>
      </c>
      <c r="H12" s="23" t="inlineStr">
        <is>
          <t>—</t>
        </is>
      </c>
      <c r="I12" s="23" t="inlineStr">
        <is>
          <t>Sara · supply car</t>
        </is>
      </c>
      <c r="J12" s="24" t="inlineStr">
        <is>
          <t>Unconfirmed</t>
        </is>
      </c>
      <c r="K12" s="23" t="inlineStr"/>
    </row>
    <row r="13" ht="54" customHeight="1">
      <c r="A13" s="11" t="n">
        <v>7</v>
      </c>
      <c r="B13" s="12">
        <f>TEXT(C13,"ddd")</f>
        <v/>
      </c>
      <c r="C13" s="13">
        <f>$B$3+387/1440</f>
        <v/>
      </c>
      <c r="D13" s="14" t="n">
        <v>26.9</v>
      </c>
      <c r="E13" s="15" t="inlineStr">
        <is>
          <t>Stinson Beach</t>
        </is>
      </c>
      <c r="F13" s="16" t="inlineStr">
        <is>
          <t>Trill</t>
        </is>
      </c>
      <c r="G13" s="16" t="inlineStr">
        <is>
          <t>Jonathan</t>
        </is>
      </c>
      <c r="H13" s="16" t="inlineStr">
        <is>
          <t>Margarita leaves with Trill; Jonathan's car stays here for Max's return</t>
        </is>
      </c>
      <c r="I13" s="16" t="inlineStr">
        <is>
          <t>Sara → Doug · transfer to master car</t>
        </is>
      </c>
      <c r="J13" s="17" t="inlineStr">
        <is>
          <t>Unconfirmed</t>
        </is>
      </c>
      <c r="K13" s="16" t="inlineStr">
        <is>
          <t>Jonathan must extend his stated running window through 22:30.</t>
        </is>
      </c>
    </row>
    <row r="14" ht="54" customHeight="1">
      <c r="A14" s="18" t="n">
        <v>8</v>
      </c>
      <c r="B14" s="19">
        <f>TEXT(C14,"ddd")</f>
        <v/>
      </c>
      <c r="C14" s="20">
        <f>$B$3+630/1440</f>
        <v/>
      </c>
      <c r="D14" s="21" t="n">
        <v>43.5</v>
      </c>
      <c r="E14" s="22" t="inlineStr">
        <is>
          <t>Bolinas Ridge Trailhead</t>
        </is>
      </c>
      <c r="F14" s="23" t="inlineStr">
        <is>
          <t>Jonathan</t>
        </is>
      </c>
      <c r="G14" s="23" t="inlineStr">
        <is>
          <t>Andrey</t>
        </is>
      </c>
      <c r="H14" s="23" t="inlineStr">
        <is>
          <t>Max arrives with Andrey and leaves with Jonathan → Stinson</t>
        </is>
      </c>
      <c r="I14" s="23" t="inlineStr">
        <is>
          <t>Doug · master supply car</t>
        </is>
      </c>
      <c r="J14" s="24" t="inlineStr">
        <is>
          <t>Unconfirmed</t>
        </is>
      </c>
      <c r="K14" s="23" t="inlineStr">
        <is>
          <t>Max must confirm both outbound and return drives.</t>
        </is>
      </c>
    </row>
    <row r="15" ht="54" customHeight="1">
      <c r="A15" s="11" t="n">
        <v>9</v>
      </c>
      <c r="B15" s="12">
        <f>TEXT(C15,"ddd")</f>
        <v/>
      </c>
      <c r="C15" s="13">
        <f>$B$3+698/1440</f>
        <v/>
      </c>
      <c r="D15" s="14" t="n">
        <v>49.5</v>
      </c>
      <c r="E15" s="15" t="inlineStr">
        <is>
          <t>Leo T. Cronin roadside handoff</t>
        </is>
      </c>
      <c r="F15" s="16" t="inlineStr">
        <is>
          <t>Andrey</t>
        </is>
      </c>
      <c r="G15" s="16" t="inlineStr">
        <is>
          <t>Andrey</t>
        </is>
      </c>
      <c r="H15" s="16" t="inlineStr">
        <is>
          <t>—</t>
        </is>
      </c>
      <c r="I15" s="16" t="inlineStr">
        <is>
          <t>Doug · quick roadside handoff</t>
        </is>
      </c>
      <c r="J15" s="17" t="inlineStr">
        <is>
          <t>Unconfirmed</t>
        </is>
      </c>
      <c r="K15" s="16" t="inlineStr">
        <is>
          <t>No lingering or parking.</t>
        </is>
      </c>
    </row>
    <row r="16" ht="54" customHeight="1">
      <c r="A16" s="18" t="n">
        <v>10</v>
      </c>
      <c r="B16" s="19">
        <f>TEXT(C16,"ddd")</f>
        <v/>
      </c>
      <c r="C16" s="20">
        <f>$B$3+945/1440</f>
        <v/>
      </c>
      <c r="D16" s="21" t="n">
        <v>65</v>
      </c>
      <c r="E16" s="22" t="inlineStr">
        <is>
          <t>Bolinas Rd × Sky Oaks Rd</t>
        </is>
      </c>
      <c r="F16" s="23" t="inlineStr">
        <is>
          <t>Andrey</t>
        </is>
      </c>
      <c r="G16" s="23" t="inlineStr">
        <is>
          <t>Doug</t>
        </is>
      </c>
      <c r="H16" s="23" t="inlineStr">
        <is>
          <t>Margarita leaves with Andrey → home/base; Sara leaves in Doug's car</t>
        </is>
      </c>
      <c r="I16" s="23" t="inlineStr">
        <is>
          <t>Doug → Sara · master-car key handoff</t>
        </is>
      </c>
      <c r="J16" s="24" t="inlineStr">
        <is>
          <t>Unconfirmed</t>
        </is>
      </c>
      <c r="K16" s="23" t="inlineStr">
        <is>
          <t>Margarita brings Sara here in Margarita's car.</t>
        </is>
      </c>
    </row>
    <row r="17" ht="54" customHeight="1">
      <c r="A17" s="11" t="n">
        <v>11</v>
      </c>
      <c r="B17" s="12">
        <f>TEXT(C17,"ddd")</f>
        <v/>
      </c>
      <c r="C17" s="13">
        <f>$B$3+1127/1440</f>
        <v/>
      </c>
      <c r="D17" s="14" t="n">
        <v>76.09999999999999</v>
      </c>
      <c r="E17" s="15" t="inlineStr">
        <is>
          <t>Mt Tam East Peak</t>
        </is>
      </c>
      <c r="F17" s="16" t="inlineStr">
        <is>
          <t>Doug</t>
        </is>
      </c>
      <c r="G17" s="16" t="inlineStr">
        <is>
          <t>— · Pedro continues solo</t>
        </is>
      </c>
      <c r="H17" s="16" t="inlineStr">
        <is>
          <t>Sara leaves with Doug after the road opens</t>
        </is>
      </c>
      <c r="I17" s="16" t="inlineStr">
        <is>
          <t>No guaranteed aid before 07:00</t>
        </is>
      </c>
      <c r="J17" s="17" t="inlineStr">
        <is>
          <t>Unconfirmed</t>
        </is>
      </c>
      <c r="K17" s="16" t="inlineStr">
        <is>
          <t>Doug waits with phone and warm layer.</t>
        </is>
      </c>
    </row>
    <row r="18" ht="54" customHeight="1">
      <c r="A18" s="18" t="n">
        <v>12</v>
      </c>
      <c r="B18" s="19">
        <f>TEXT(C18,"ddd")</f>
        <v/>
      </c>
      <c r="C18" s="20">
        <f>$B$3+1179/1440</f>
        <v/>
      </c>
      <c r="D18" s="21" t="n">
        <v>80.5</v>
      </c>
      <c r="E18" s="22" t="inlineStr">
        <is>
          <t>Mountain Home Inn</t>
        </is>
      </c>
      <c r="F18" s="23" t="inlineStr">
        <is>
          <t>—</t>
        </is>
      </c>
      <c r="G18" s="23" t="inlineStr">
        <is>
          <t>Brian</t>
        </is>
      </c>
      <c r="H18" s="23" t="inlineStr">
        <is>
          <t>Jonathan drops Brian and drives to Tennessee Valley</t>
        </is>
      </c>
      <c r="I18" s="23" t="inlineStr">
        <is>
          <t>Sara · master supply car</t>
        </is>
      </c>
      <c r="J18" s="24" t="inlineStr">
        <is>
          <t>Unconfirmed</t>
        </is>
      </c>
      <c r="K18" s="23" t="inlineStr">
        <is>
          <t>Brian's CSV does not include an availability window.</t>
        </is>
      </c>
    </row>
    <row r="19" ht="54" customHeight="1">
      <c r="A19" s="11" t="n">
        <v>13</v>
      </c>
      <c r="B19" s="12">
        <f>TEXT(C19,"ddd")</f>
        <v/>
      </c>
      <c r="C19" s="13">
        <f>$B$3+1291/1440</f>
        <v/>
      </c>
      <c r="D19" s="14" t="n">
        <v>88.90000000000001</v>
      </c>
      <c r="E19" s="15" t="inlineStr">
        <is>
          <t>Tennessee Valley</t>
        </is>
      </c>
      <c r="F19" s="16" t="inlineStr">
        <is>
          <t>Brian</t>
        </is>
      </c>
      <c r="G19" s="16" t="inlineStr">
        <is>
          <t>Trill</t>
        </is>
      </c>
      <c r="H19" s="16" t="inlineStr">
        <is>
          <t>Jonathan arrives with Trill and leaves with Brian → home/base</t>
        </is>
      </c>
      <c r="I19" s="16" t="inlineStr">
        <is>
          <t>Sara · master supply car</t>
        </is>
      </c>
      <c r="J19" s="17" t="inlineStr">
        <is>
          <t>Unconfirmed</t>
        </is>
      </c>
      <c r="K19" s="16" t="inlineStr"/>
    </row>
    <row r="20" ht="54" customHeight="1">
      <c r="A20" s="18" t="n">
        <v>14</v>
      </c>
      <c r="B20" s="19">
        <f>TEXT(C20,"ddd")</f>
        <v/>
      </c>
      <c r="C20" s="20">
        <f>$B$3+1368/1440</f>
        <v/>
      </c>
      <c r="D20" s="21" t="n">
        <v>94.09999999999999</v>
      </c>
      <c r="E20" s="22" t="inlineStr">
        <is>
          <t>GGB north · return</t>
        </is>
      </c>
      <c r="F20" s="23" t="inlineStr">
        <is>
          <t>Trill</t>
        </is>
      </c>
      <c r="G20" s="23" t="inlineStr">
        <is>
          <t>Optional finish group</t>
        </is>
      </c>
      <c r="H20" s="23" t="inlineStr">
        <is>
          <t>Sara leaves with Trill</t>
        </is>
      </c>
      <c r="I20" s="23" t="inlineStr">
        <is>
          <t>Sara · master supply car</t>
        </is>
      </c>
      <c r="J20" s="24" t="inlineStr">
        <is>
          <t>Unconfirmed</t>
        </is>
      </c>
      <c r="K20" s="23" t="inlineStr"/>
    </row>
    <row r="21" ht="54" customHeight="1">
      <c r="A21" s="11" t="n">
        <v>15</v>
      </c>
      <c r="B21" s="12">
        <f>TEXT(C21,"ddd")</f>
        <v/>
      </c>
      <c r="C21" s="13">
        <f>$B$3+1388/1440</f>
        <v/>
      </c>
      <c r="D21" s="14" t="n">
        <v>95.90000000000001</v>
      </c>
      <c r="E21" s="15" t="inlineStr">
        <is>
          <t>GGB south · return</t>
        </is>
      </c>
      <c r="F21" s="16" t="inlineStr">
        <is>
          <t>Finish group</t>
        </is>
      </c>
      <c r="G21" s="16" t="inlineStr">
        <is>
          <t>Finish group</t>
        </is>
      </c>
      <c r="H21" s="16" t="inlineStr">
        <is>
          <t>—</t>
        </is>
      </c>
      <c r="I21" s="16" t="inlineStr">
        <is>
          <t>Sara · final aid</t>
        </is>
      </c>
      <c r="J21" s="17" t="inlineStr">
        <is>
          <t>Not needed</t>
        </is>
      </c>
      <c r="K21" s="16" t="inlineStr">
        <is>
          <t>Final bridge-side aid.</t>
        </is>
      </c>
    </row>
    <row r="22" ht="54" customHeight="1">
      <c r="A22" s="18" t="n">
        <v>16</v>
      </c>
      <c r="B22" s="19">
        <f>TEXT(C22,"ddd")</f>
        <v/>
      </c>
      <c r="C22" s="20">
        <f>$B$3+1440/1440</f>
        <v/>
      </c>
      <c r="D22" s="21" t="n">
        <v>100</v>
      </c>
      <c r="E22" s="22" t="inlineStr">
        <is>
          <t>Finish — Golden Gate Park</t>
        </is>
      </c>
      <c r="F22" s="23" t="inlineStr">
        <is>
          <t>Finish group</t>
        </is>
      </c>
      <c r="G22" s="23" t="inlineStr">
        <is>
          <t>—</t>
        </is>
      </c>
      <c r="H22" s="23" t="inlineStr">
        <is>
          <t>All vehicles complete</t>
        </is>
      </c>
      <c r="I22" s="23" t="inlineStr">
        <is>
          <t>Sara · finish and recovery supplies</t>
        </is>
      </c>
      <c r="J22" s="24" t="inlineStr">
        <is>
          <t>Not needed</t>
        </is>
      </c>
      <c r="K22" s="23" t="inlineStr">
        <is>
          <t>No vehicle should remain at an aid station.</t>
        </is>
      </c>
    </row>
  </sheetData>
  <autoFilter ref="A6:K22"/>
  <mergeCells count="5">
    <mergeCell ref="B3:D3"/>
    <mergeCell ref="A4:K4"/>
    <mergeCell ref="E3:K3"/>
    <mergeCell ref="A2:K2"/>
    <mergeCell ref="A1:K1"/>
  </mergeCells>
  <conditionalFormatting sqref="J7:J500">
    <cfRule type="cellIs" priority="1" operator="equal" dxfId="0">
      <formula>"Unconfirmed"</formula>
    </cfRule>
    <cfRule type="cellIs" priority="2" operator="equal" dxfId="1">
      <formula>"Confirmed"</formula>
    </cfRule>
    <cfRule type="cellIs" priority="3" operator="equal" dxfId="2">
      <formula>"Not needed"</formula>
    </cfRule>
  </conditionalFormatting>
  <dataValidations count="1">
    <dataValidation sqref="J7:J500" showDropDown="0" showInputMessage="0" showErrorMessage="0" allowBlank="0" errorTitle="Invalid status" error="Choose a confirmation status from the list." promptTitle="Confirmation status" prompt="Select Unconfirmed, Confirmed, or Not needed." type="list">
      <formula1>'_lists'!$A$1:$A$3</formula1>
    </dataValidation>
  </dataValidations>
  <pageMargins left="0.25" right="0.25" top="0.4" bottom="0.4" header="0.5" footer="0.5"/>
  <pageSetup orientation="landscape" paperSize="1" fitToHeight="0" fitToWidth="1"/>
  <headerFooter>
    <oddHeader/>
    <oddFooter>&amp;CHOMEDRED / CREW LOGISTICS&amp;RPage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Unconfirmed</t>
        </is>
      </c>
    </row>
    <row r="2">
      <c r="A2" t="inlineStr">
        <is>
          <t>Confirmed</t>
        </is>
      </c>
    </row>
    <row r="3">
      <c r="A3" t="inlineStr">
        <is>
          <t>Not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2026-07-31T04:59:24Z</dcterms:created>
  <dcterms:modified xsi:type="dcterms:W3CDTF">2026-07-31T04:59:24Z</dcterms:modified>
</cp:coreProperties>
</file>